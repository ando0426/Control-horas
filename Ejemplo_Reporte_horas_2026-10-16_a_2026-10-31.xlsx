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<sst xmlns="http://schemas.openxmlformats.org/spreadsheetml/2006/main" count="80" uniqueCount="50">
  <si>
    <t>Reporte de horas trabajadas</t>
  </si>
  <si>
    <t>Período: 16 – 31 oct 2026</t>
  </si>
  <si>
    <t>Generado: 27/10/2026 · Valor hora ordinaria: $8.338 (salario $1.750.905 ÷ 210 h).</t>
  </si>
  <si>
    <t>Escriba en las columnas amarillas lo que reportó o pagó la empresa. La diferencia se calcula sola: positiva = la empresa le debe; negativa = la empresa reportó de más.</t>
  </si>
  <si>
    <t>Resumen</t>
  </si>
  <si>
    <t/>
  </si>
  <si>
    <t>Mis registros</t>
  </si>
  <si>
    <t>Según la empresa</t>
  </si>
  <si>
    <t>Diferencia</t>
  </si>
  <si>
    <t>Días trabajados</t>
  </si>
  <si>
    <t>Horas trabajadas</t>
  </si>
  <si>
    <t>Horas extra</t>
  </si>
  <si>
    <t>Total a recibir</t>
  </si>
  <si>
    <t>Fecha</t>
  </si>
  <si>
    <t>Día</t>
  </si>
  <si>
    <t>Entrada</t>
  </si>
  <si>
    <t>Salida</t>
  </si>
  <si>
    <t>Descanso (min)</t>
  </si>
  <si>
    <t>Tipo de día</t>
  </si>
  <si>
    <t>Ordinarias diurnas</t>
  </si>
  <si>
    <t>Ordinarias nocturnas</t>
  </si>
  <si>
    <t>Extra diurnas</t>
  </si>
  <si>
    <t>Extra nocturnas</t>
  </si>
  <si>
    <t>Pago ordinario</t>
  </si>
  <si>
    <t>Pago extra</t>
  </si>
  <si>
    <t>Total (mis cálculos)</t>
  </si>
  <si>
    <t>Horas según empresa</t>
  </si>
  <si>
    <t>Pago según empresa</t>
  </si>
  <si>
    <t>Diferencia horas</t>
  </si>
  <si>
    <t>Diferencia pago</t>
  </si>
  <si>
    <t>Observaciones</t>
  </si>
  <si>
    <t>Viernes</t>
  </si>
  <si>
    <t>7:00 a. m.</t>
  </si>
  <si>
    <t>3:30 p. m.</t>
  </si>
  <si>
    <t>Ordinario</t>
  </si>
  <si>
    <t>Lunes</t>
  </si>
  <si>
    <t>5:00 p. m.</t>
  </si>
  <si>
    <t>Semana de más de 42 h</t>
  </si>
  <si>
    <t>Martes</t>
  </si>
  <si>
    <t>Miércoles</t>
  </si>
  <si>
    <t>Jueves</t>
  </si>
  <si>
    <t>Sábado</t>
  </si>
  <si>
    <t>12:30 p. m.</t>
  </si>
  <si>
    <t>4:00 p. m.</t>
  </si>
  <si>
    <t>TOTAL</t>
  </si>
  <si>
    <t>Cómo se calculó:</t>
  </si>
  <si>
    <t>• Hora ordinaria = salario mínimo ÷ 210 horas al mes.</t>
  </si>
  <si>
    <t>• Hora extra: lo que pase de 9 horas en el día (+25% de día, +75% de noche).</t>
  </si>
  <si>
    <t>• Recargo nocturno +35% (de 19:00 a 6:00). Domingo o festivo +90%.</t>
  </si>
  <si>
    <t>• No incluye auxilio de transporte ni prestaciones (prima, cesantías, vacaciones).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</si>
</sst>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[Red]-0;&quot;-&quot;"/>
    <numFmt numFmtId="165" formatCode="0.00;[Red]-0.00;&quot;-&quot;"/>
    <numFmt numFmtId="166" formatCode="&quot;$&quot;#,##0;[Red]-&quot;$&quot;#,##0;&quot;-&quot;"/>
    <numFmt numFmtId="167" formatCode="dd/mm/yyyy"/>
  </numFmts>
  <fonts count="11" x14ac:knownFonts="1">
    <font>
      <color theme="1"/>
      <family val="2"/>
      <scheme val="minor"/>
      <sz val="11"/>
      <name val="Calibri"/>
    </font>
    <font>
      <b/>
      <color rgb="FF1F4E78"/>
      <sz val="16"/>
      <name val="Arial"/>
    </font>
    <font>
      <b/>
      <sz val="11"/>
      <name val="Arial"/>
    </font>
    <font>
      <color rgb="FF595959"/>
      <sz val="9"/>
      <name val="Arial"/>
    </font>
    <font>
      <i/>
      <sz val="9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b/>
      <color rgb="FF000000"/>
      <sz val="10"/>
      <name val="Arial"/>
    </font>
    <font>
      <b/>
      <color rgb="FFC55A11"/>
      <sz val="10"/>
      <name val="Arial"/>
    </font>
    <font>
      <b/>
      <color rgb="FF595959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FFD96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166" fontId="5" fillId="3" borderId="1" xfId="0" applyNumberFormat="1" applyFont="1" applyFill="1" applyBorder="1"/>
    <xf numFmtId="166" fontId="6" fillId="0" borderId="1" xfId="0" applyNumberFormat="1" applyFont="1" applyBorder="1"/>
    <xf numFmtId="166" fontId="5" fillId="0" borderId="1" xfId="0" applyNumberFormat="1" applyFont="1" applyBorder="1"/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7" fontId="6" fillId="0" borderId="1" xfId="0" applyNumberFormat="1" applyFont="1" applyBorder="1"/>
    <xf numFmtId="0" fontId="6" fillId="0" borderId="1" xfId="0" applyFont="1" applyBorder="1"/>
    <xf numFmtId="1" fontId="6" fillId="0" borderId="1" xfId="0" applyNumberFormat="1" applyFont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  <xf numFmtId="165" fontId="9" fillId="0" borderId="1" xfId="0" applyNumberFormat="1" applyFont="1" applyBorder="1"/>
    <xf numFmtId="0" fontId="5" fillId="2" borderId="1" xfId="0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7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6" customWidth="1"/>
    <col min="4" max="4" width="13" customWidth="1"/>
    <col min="5" max="5" width="10" customWidth="1"/>
    <col min="6" max="6" width="11" customWidth="1"/>
    <col min="7" max="11" width="10" customWidth="1"/>
    <col min="12" max="12" width="13" customWidth="1"/>
    <col min="13" max="13" width="12" customWidth="1"/>
    <col min="14" max="14" width="14" customWidth="1"/>
    <col min="15" max="15" width="12" customWidth="1"/>
    <col min="16" max="16" width="14" customWidth="1"/>
    <col min="17" max="17" width="11" customWidth="1"/>
    <col min="18" max="18" width="13" customWidth="1"/>
    <col min="19" max="19" width="3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6" spans="1:1" x14ac:dyDescent="0.25">
      <c r="A6" s="2" t="s">
        <v>4</v>
      </c>
    </row>
    <row r="7" spans="1:4" x14ac:dyDescent="0.25">
      <c r="A7" s="5" t="s">
        <v>5</v>
      </c>
      <c r="B7" s="5" t="s">
        <v>6</v>
      </c>
      <c r="C7" s="5" t="s">
        <v>7</v>
      </c>
      <c r="D7" s="5" t="s">
        <v>8</v>
      </c>
    </row>
    <row r="8" spans="1:4" x14ac:dyDescent="0.25">
      <c r="A8" s="6" t="s">
        <v>9</v>
      </c>
      <c r="B8" s="7">
        <f>COUNTIF(G13:G20,"&gt;0")</f>
      </c>
      <c r="C8" s="7">
        <f>COUNTIF(O13:O20,"&gt;0")</f>
      </c>
      <c r="D8" s="7">
        <f>B8-C8</f>
      </c>
    </row>
    <row r="9" spans="1:4" x14ac:dyDescent="0.25">
      <c r="A9" s="6" t="s">
        <v>10</v>
      </c>
      <c r="B9" s="8">
        <f>SUM(G13:G20)</f>
      </c>
      <c r="C9" s="8">
        <f>SUM(O13:O20)</f>
      </c>
      <c r="D9" s="8">
        <f>B9-C9</f>
      </c>
    </row>
    <row r="10" spans="1:4" x14ac:dyDescent="0.25">
      <c r="A10" s="6" t="s">
        <v>11</v>
      </c>
      <c r="B10" s="8">
        <f>SUM(J13:J20)+SUM(K13:K20)</f>
      </c>
      <c r="C10" s="8" t="s">
        <v>5</v>
      </c>
      <c r="D10" s="8" t="s">
        <v>5</v>
      </c>
    </row>
    <row r="11" spans="1:4" x14ac:dyDescent="0.25">
      <c r="A11" s="6" t="s">
        <v>12</v>
      </c>
      <c r="B11" s="9">
        <f>SUM(N13:N20)</f>
      </c>
      <c r="C11" s="10">
        <f>SUM(P13:P20)</f>
      </c>
      <c r="D11" s="11">
        <f>B11-C11</f>
      </c>
    </row>
    <row r="12" ht="32" customHeight="1" spans="1:19" x14ac:dyDescent="0.25">
      <c r="A12" s="12" t="s">
        <v>13</v>
      </c>
      <c r="B12" s="12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10</v>
      </c>
      <c r="H12" s="12" t="s">
        <v>19</v>
      </c>
      <c r="I12" s="12" t="s">
        <v>20</v>
      </c>
      <c r="J12" s="12" t="s">
        <v>21</v>
      </c>
      <c r="K12" s="12" t="s">
        <v>22</v>
      </c>
      <c r="L12" s="12" t="s">
        <v>23</v>
      </c>
      <c r="M12" s="12" t="s">
        <v>24</v>
      </c>
      <c r="N12" s="12" t="s">
        <v>25</v>
      </c>
      <c r="O12" s="13" t="s">
        <v>26</v>
      </c>
      <c r="P12" s="13" t="s">
        <v>27</v>
      </c>
      <c r="Q12" s="12" t="s">
        <v>28</v>
      </c>
      <c r="R12" s="12" t="s">
        <v>29</v>
      </c>
      <c r="S12" s="12" t="s">
        <v>30</v>
      </c>
    </row>
    <row r="13" spans="1:19" x14ac:dyDescent="0.25">
      <c r="A13" s="14">
        <v>46311</v>
      </c>
      <c r="B13" s="15" t="s">
        <v>31</v>
      </c>
      <c r="C13" s="15" t="s">
        <v>32</v>
      </c>
      <c r="D13" s="15" t="s">
        <v>33</v>
      </c>
      <c r="E13" s="16">
        <v>0</v>
      </c>
      <c r="F13" s="15" t="s">
        <v>34</v>
      </c>
      <c r="G13" s="8">
        <v>8.5</v>
      </c>
      <c r="H13" s="8">
        <v>8.5</v>
      </c>
      <c r="I13" s="8">
        <v>0</v>
      </c>
      <c r="J13" s="8">
        <v>0</v>
      </c>
      <c r="K13" s="8">
        <v>0</v>
      </c>
      <c r="L13" s="10">
        <v>70870</v>
      </c>
      <c r="M13" s="10">
        <v>0</v>
      </c>
      <c r="N13" s="11">
        <f>L13+M13</f>
        <v>70870</v>
      </c>
      <c r="O13" s="17"/>
      <c r="P13" s="18"/>
      <c r="Q13" s="8">
        <f>IF(O13="","",G13-O13)</f>
      </c>
      <c r="R13" s="10">
        <f>IF(P13="","",N13-P13)</f>
      </c>
      <c r="S13" s="15" t="s">
        <v>5</v>
      </c>
    </row>
    <row r="14" spans="1:19" x14ac:dyDescent="0.25">
      <c r="A14" s="14">
        <v>46314</v>
      </c>
      <c r="B14" s="15" t="s">
        <v>35</v>
      </c>
      <c r="C14" s="15" t="s">
        <v>32</v>
      </c>
      <c r="D14" s="15" t="s">
        <v>36</v>
      </c>
      <c r="E14" s="16">
        <v>0</v>
      </c>
      <c r="F14" s="15" t="s">
        <v>34</v>
      </c>
      <c r="G14" s="8">
        <v>10</v>
      </c>
      <c r="H14" s="8">
        <v>9</v>
      </c>
      <c r="I14" s="8">
        <v>0</v>
      </c>
      <c r="J14" s="19">
        <v>1</v>
      </c>
      <c r="K14" s="8">
        <v>0</v>
      </c>
      <c r="L14" s="10">
        <v>75039</v>
      </c>
      <c r="M14" s="10">
        <v>10422</v>
      </c>
      <c r="N14" s="11">
        <f>L14+M14</f>
        <v>85461</v>
      </c>
      <c r="O14" s="17"/>
      <c r="P14" s="18"/>
      <c r="Q14" s="8">
        <f>IF(O14="","",G14-O14)</f>
      </c>
      <c r="R14" s="10">
        <f>IF(P14="","",N14-P14)</f>
      </c>
      <c r="S14" s="15" t="s">
        <v>37</v>
      </c>
    </row>
    <row r="15" spans="1:19" x14ac:dyDescent="0.25">
      <c r="A15" s="14">
        <v>46315</v>
      </c>
      <c r="B15" s="15" t="s">
        <v>38</v>
      </c>
      <c r="C15" s="15" t="s">
        <v>32</v>
      </c>
      <c r="D15" s="15" t="s">
        <v>36</v>
      </c>
      <c r="E15" s="16">
        <v>0</v>
      </c>
      <c r="F15" s="15" t="s">
        <v>34</v>
      </c>
      <c r="G15" s="8">
        <v>10</v>
      </c>
      <c r="H15" s="8">
        <v>9</v>
      </c>
      <c r="I15" s="8">
        <v>0</v>
      </c>
      <c r="J15" s="19">
        <v>1</v>
      </c>
      <c r="K15" s="8">
        <v>0</v>
      </c>
      <c r="L15" s="10">
        <v>75039</v>
      </c>
      <c r="M15" s="10">
        <v>10422</v>
      </c>
      <c r="N15" s="11">
        <f>L15+M15</f>
        <v>85461</v>
      </c>
      <c r="O15" s="17"/>
      <c r="P15" s="18"/>
      <c r="Q15" s="8">
        <f>IF(O15="","",G15-O15)</f>
      </c>
      <c r="R15" s="10">
        <f>IF(P15="","",N15-P15)</f>
      </c>
      <c r="S15" s="15" t="s">
        <v>37</v>
      </c>
    </row>
    <row r="16" spans="1:19" x14ac:dyDescent="0.25">
      <c r="A16" s="14">
        <v>46316</v>
      </c>
      <c r="B16" s="15" t="s">
        <v>39</v>
      </c>
      <c r="C16" s="15" t="s">
        <v>32</v>
      </c>
      <c r="D16" s="15" t="s">
        <v>36</v>
      </c>
      <c r="E16" s="16">
        <v>0</v>
      </c>
      <c r="F16" s="15" t="s">
        <v>34</v>
      </c>
      <c r="G16" s="8">
        <v>10</v>
      </c>
      <c r="H16" s="8">
        <v>9</v>
      </c>
      <c r="I16" s="8">
        <v>0</v>
      </c>
      <c r="J16" s="19">
        <v>1</v>
      </c>
      <c r="K16" s="8">
        <v>0</v>
      </c>
      <c r="L16" s="10">
        <v>75039</v>
      </c>
      <c r="M16" s="10">
        <v>10422</v>
      </c>
      <c r="N16" s="11">
        <f>L16+M16</f>
        <v>85461</v>
      </c>
      <c r="O16" s="17"/>
      <c r="P16" s="18"/>
      <c r="Q16" s="8">
        <f>IF(O16="","",G16-O16)</f>
      </c>
      <c r="R16" s="10">
        <f>IF(P16="","",N16-P16)</f>
      </c>
      <c r="S16" s="15" t="s">
        <v>37</v>
      </c>
    </row>
    <row r="17" spans="1:19" x14ac:dyDescent="0.25">
      <c r="A17" s="14">
        <v>46317</v>
      </c>
      <c r="B17" s="15" t="s">
        <v>40</v>
      </c>
      <c r="C17" s="15" t="s">
        <v>32</v>
      </c>
      <c r="D17" s="15" t="s">
        <v>36</v>
      </c>
      <c r="E17" s="16">
        <v>0</v>
      </c>
      <c r="F17" s="15" t="s">
        <v>34</v>
      </c>
      <c r="G17" s="8">
        <v>10</v>
      </c>
      <c r="H17" s="8">
        <v>9</v>
      </c>
      <c r="I17" s="8">
        <v>0</v>
      </c>
      <c r="J17" s="19">
        <v>1</v>
      </c>
      <c r="K17" s="8">
        <v>0</v>
      </c>
      <c r="L17" s="10">
        <v>75039</v>
      </c>
      <c r="M17" s="10">
        <v>10422</v>
      </c>
      <c r="N17" s="11">
        <f>L17+M17</f>
        <v>85461</v>
      </c>
      <c r="O17" s="17"/>
      <c r="P17" s="18"/>
      <c r="Q17" s="8">
        <f>IF(O17="","",G17-O17)</f>
      </c>
      <c r="R17" s="10">
        <f>IF(P17="","",N17-P17)</f>
      </c>
      <c r="S17" s="15" t="s">
        <v>37</v>
      </c>
    </row>
    <row r="18" spans="1:19" x14ac:dyDescent="0.25">
      <c r="A18" s="14">
        <v>46318</v>
      </c>
      <c r="B18" s="15" t="s">
        <v>31</v>
      </c>
      <c r="C18" s="15" t="s">
        <v>32</v>
      </c>
      <c r="D18" s="15" t="s">
        <v>33</v>
      </c>
      <c r="E18" s="16">
        <v>0</v>
      </c>
      <c r="F18" s="15" t="s">
        <v>34</v>
      </c>
      <c r="G18" s="8">
        <v>8.5</v>
      </c>
      <c r="H18" s="8">
        <v>8.5</v>
      </c>
      <c r="I18" s="8">
        <v>0</v>
      </c>
      <c r="J18" s="8">
        <v>0</v>
      </c>
      <c r="K18" s="8">
        <v>0</v>
      </c>
      <c r="L18" s="10">
        <v>70870</v>
      </c>
      <c r="M18" s="10">
        <v>0</v>
      </c>
      <c r="N18" s="11">
        <f>L18+M18</f>
        <v>70870</v>
      </c>
      <c r="O18" s="17"/>
      <c r="P18" s="18"/>
      <c r="Q18" s="8">
        <f>IF(O18="","",G18-O18)</f>
      </c>
      <c r="R18" s="10">
        <f>IF(P18="","",N18-P18)</f>
      </c>
      <c r="S18" s="15" t="s">
        <v>37</v>
      </c>
    </row>
    <row r="19" spans="1:19" x14ac:dyDescent="0.25">
      <c r="A19" s="14">
        <v>46319</v>
      </c>
      <c r="B19" s="15" t="s">
        <v>41</v>
      </c>
      <c r="C19" s="15" t="s">
        <v>32</v>
      </c>
      <c r="D19" s="15" t="s">
        <v>42</v>
      </c>
      <c r="E19" s="16">
        <v>0</v>
      </c>
      <c r="F19" s="15" t="s">
        <v>34</v>
      </c>
      <c r="G19" s="8">
        <v>5.5</v>
      </c>
      <c r="H19" s="8">
        <v>5.5</v>
      </c>
      <c r="I19" s="8">
        <v>0</v>
      </c>
      <c r="J19" s="8">
        <v>0</v>
      </c>
      <c r="K19" s="8">
        <v>0</v>
      </c>
      <c r="L19" s="10">
        <v>45857</v>
      </c>
      <c r="M19" s="10">
        <v>0</v>
      </c>
      <c r="N19" s="11">
        <f>L19+M19</f>
        <v>45857</v>
      </c>
      <c r="O19" s="17"/>
      <c r="P19" s="18"/>
      <c r="Q19" s="8">
        <f>IF(O19="","",G19-O19)</f>
      </c>
      <c r="R19" s="10">
        <f>IF(P19="","",N19-P19)</f>
      </c>
      <c r="S19" s="15" t="s">
        <v>37</v>
      </c>
    </row>
    <row r="20" spans="1:19" x14ac:dyDescent="0.25">
      <c r="A20" s="14">
        <v>46321</v>
      </c>
      <c r="B20" s="15" t="s">
        <v>35</v>
      </c>
      <c r="C20" s="15" t="s">
        <v>32</v>
      </c>
      <c r="D20" s="15" t="s">
        <v>43</v>
      </c>
      <c r="E20" s="16">
        <v>0</v>
      </c>
      <c r="F20" s="15" t="s">
        <v>34</v>
      </c>
      <c r="G20" s="8">
        <v>9</v>
      </c>
      <c r="H20" s="8">
        <v>9</v>
      </c>
      <c r="I20" s="8">
        <v>0</v>
      </c>
      <c r="J20" s="8">
        <v>0</v>
      </c>
      <c r="K20" s="8">
        <v>0</v>
      </c>
      <c r="L20" s="10">
        <v>75039</v>
      </c>
      <c r="M20" s="10">
        <v>0</v>
      </c>
      <c r="N20" s="11">
        <f>L20+M20</f>
        <v>75039</v>
      </c>
      <c r="O20" s="17"/>
      <c r="P20" s="18"/>
      <c r="Q20" s="8">
        <f>IF(O20="","",G20-O20)</f>
      </c>
      <c r="R20" s="10">
        <f>IF(P20="","",N20-P20)</f>
      </c>
      <c r="S20" s="15" t="s">
        <v>5</v>
      </c>
    </row>
    <row r="21" spans="1:19" x14ac:dyDescent="0.25">
      <c r="A21" s="20" t="s">
        <v>44</v>
      </c>
      <c r="B21" s="20"/>
      <c r="C21" s="20"/>
      <c r="D21" s="20"/>
      <c r="E21" s="20"/>
      <c r="F21" s="20"/>
      <c r="G21" s="21">
        <f>SUM(G13:G20)</f>
      </c>
      <c r="H21" s="21">
        <f>SUM(H13:H20)</f>
      </c>
      <c r="I21" s="21">
        <f>SUM(I13:I20)</f>
      </c>
      <c r="J21" s="21">
        <f>SUM(J13:J20)</f>
      </c>
      <c r="K21" s="21">
        <f>SUM(K13:K20)</f>
      </c>
      <c r="L21" s="22">
        <f>SUM(L13:L20)</f>
      </c>
      <c r="M21" s="22">
        <f>SUM(M13:M20)</f>
      </c>
      <c r="N21" s="22">
        <f>SUM(N13:N20)</f>
      </c>
      <c r="O21" s="21">
        <f>SUM(O13:O20)</f>
      </c>
      <c r="P21" s="22">
        <f>SUM(P13:P20)</f>
      </c>
      <c r="Q21" s="21">
        <f>SUM(Q13:Q20)</f>
      </c>
      <c r="R21" s="22">
        <f>SUM(R13:R20)</f>
      </c>
      <c r="S21" s="20"/>
    </row>
    <row r="23" spans="1:1" x14ac:dyDescent="0.25">
      <c r="A23" s="23" t="s">
        <v>45</v>
      </c>
    </row>
    <row r="24" spans="1:1" x14ac:dyDescent="0.25">
      <c r="A24" s="3" t="s">
        <v>46</v>
      </c>
    </row>
    <row r="25" spans="1:1" x14ac:dyDescent="0.25">
      <c r="A25" s="3" t="s">
        <v>47</v>
      </c>
    </row>
    <row r="26" spans="1:1" x14ac:dyDescent="0.25">
      <c r="A26" s="3" t="s">
        <v>48</v>
      </c>
    </row>
    <row r="27" spans="1:1" x14ac:dyDescent="0.25">
      <c r="A27" s="3" t="s">
        <v>49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horas de trabajo</dc:creator>
  <dc:title/>
  <dc:subject/>
  <dc:description/>
  <cp:keywords/>
  <cp:category/>
  <cp:lastModifiedBy>Unknown</cp:lastModifiedBy>
  <dcterms:created xsi:type="dcterms:W3CDTF">2026-10-28T00:40:00Z</dcterms:created>
  <dcterms:modified xsi:type="dcterms:W3CDTF">2026-10-28T00:40:00Z</dcterms:modified>
</cp:coreProperties>
</file>